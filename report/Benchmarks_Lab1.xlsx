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<sst xmlns="http://schemas.openxmlformats.org/spreadsheetml/2006/main" count="32" uniqueCount="14">
  <si>
    <t>Bytes sent (B)</t>
  </si>
  <si>
    <t>Runs</t>
  </si>
  <si>
    <t>AVG away</t>
  </si>
  <si>
    <t>BER</t>
  </si>
  <si>
    <t>FER</t>
  </si>
  <si>
    <t>Time (s)</t>
  </si>
  <si>
    <t>Data R (bps)</t>
  </si>
  <si>
    <t>Data S (%)</t>
  </si>
  <si>
    <t>Theoretical S (%)</t>
  </si>
  <si>
    <t>Max payload size (B)</t>
  </si>
  <si>
    <t>L (b)</t>
  </si>
  <si>
    <t>Tf (s)</t>
  </si>
  <si>
    <t>Tprop (us)</t>
  </si>
  <si>
    <t>C (bps)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</si>
</sst>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Folha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lha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lha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lha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Folha1-style 5">
      <tableStyleElement dxfId="2" type="firstRowStripe"/>
      <tableStyleElement dxfId="3" type="secondRowStripe"/>
    </tableStyle>
    <tableStyle count="4" pivot="0" name="Folha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lha1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lha1-style 8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Frame Error Rate impact on efficiency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v>Theoretical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Folha1!$G$4:$G$8</c:f>
            </c:strRef>
          </c:cat>
          <c:val>
            <c:numRef>
              <c:f>Folha1!$K$4:$K$8</c:f>
              <c:numCache/>
            </c:numRef>
          </c:val>
          <c:smooth val="0"/>
        </c:ser>
        <c:ser>
          <c:idx val="1"/>
          <c:order val="1"/>
          <c:tx>
            <c:v>Achieved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Folha1!$G$4:$G$8</c:f>
            </c:strRef>
          </c:cat>
          <c:val>
            <c:numRef>
              <c:f>Folha1!$J$4:$J$8</c:f>
              <c:numCache/>
            </c:numRef>
          </c:val>
          <c:smooth val="0"/>
        </c:ser>
        <c:axId val="1473334054"/>
        <c:axId val="2121022661"/>
      </c:lineChart>
      <c:catAx>
        <c:axId val="1473334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022661"/>
      </c:catAx>
      <c:valAx>
        <c:axId val="21210226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334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Propagation Delay impact on efficiency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v>Theoretical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Folha1!$G$18:$G$22</c:f>
            </c:strRef>
          </c:cat>
          <c:val>
            <c:numRef>
              <c:f>Folha1!$K$18:$K$22</c:f>
              <c:numCache/>
            </c:numRef>
          </c:val>
          <c:smooth val="0"/>
        </c:ser>
        <c:ser>
          <c:idx val="1"/>
          <c:order val="1"/>
          <c:tx>
            <c:v>Achieved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Folha1!$G$18:$G$22</c:f>
            </c:strRef>
          </c:cat>
          <c:val>
            <c:numRef>
              <c:f>Folha1!$J$18:$J$22</c:f>
              <c:numCache/>
            </c:numRef>
          </c:val>
          <c:smooth val="0"/>
        </c:ser>
        <c:axId val="565471255"/>
        <c:axId val="383667093"/>
      </c:lineChart>
      <c:catAx>
        <c:axId val="565471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Tprop(μs)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3667093"/>
      </c:catAx>
      <c:valAx>
        <c:axId val="383667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54712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Baudrate impact on efficiency</a:t>
            </a:r>
          </a:p>
        </c:rich>
      </c:tx>
      <c:layout>
        <c:manualLayout>
          <c:xMode val="edge"/>
          <c:yMode val="edge"/>
          <c:x val="0.032838589981447126"/>
          <c:y val="0.049999999999999996"/>
        </c:manualLayout>
      </c:layout>
      <c:overlay val="0"/>
    </c:title>
    <c:plotArea>
      <c:layout/>
      <c:lineChart>
        <c:ser>
          <c:idx val="0"/>
          <c:order val="0"/>
          <c:tx>
            <c:v>Theoretical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Folha1!$G$47:$G$51</c:f>
            </c:strRef>
          </c:cat>
          <c:val>
            <c:numRef>
              <c:f>Folha1!$K$47:$K$51</c:f>
              <c:numCache/>
            </c:numRef>
          </c:val>
          <c:smooth val="0"/>
        </c:ser>
        <c:ser>
          <c:idx val="1"/>
          <c:order val="1"/>
          <c:tx>
            <c:v>Achieved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Folha1!$G$47:$G$51</c:f>
            </c:strRef>
          </c:cat>
          <c:val>
            <c:numRef>
              <c:f>Folha1!$J$47:$J$51</c:f>
              <c:numCache/>
            </c:numRef>
          </c:val>
          <c:smooth val="0"/>
        </c:ser>
        <c:axId val="1776972956"/>
        <c:axId val="512477226"/>
      </c:lineChart>
      <c:catAx>
        <c:axId val="1776972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 (bps)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2477226"/>
      </c:catAx>
      <c:valAx>
        <c:axId val="5124772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9729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Frame Size impact on efficiency (Tprop 0,1s)</a:t>
            </a:r>
          </a:p>
        </c:rich>
      </c:tx>
      <c:overlay val="0"/>
    </c:title>
    <c:plotArea>
      <c:layout/>
      <c:lineChart>
        <c:ser>
          <c:idx val="0"/>
          <c:order val="0"/>
          <c:tx>
            <c:v>Theoretical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Folha1!$R$32:$R$36</c:f>
            </c:strRef>
          </c:cat>
          <c:val>
            <c:numRef>
              <c:f>Folha1!$V$32:$V$36</c:f>
              <c:numCache/>
            </c:numRef>
          </c:val>
          <c:smooth val="0"/>
        </c:ser>
        <c:ser>
          <c:idx val="1"/>
          <c:order val="1"/>
          <c:tx>
            <c:v>Achieved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Folha1!$R$32:$R$36</c:f>
            </c:strRef>
          </c:cat>
          <c:val>
            <c:numRef>
              <c:f>Folha1!$U$32:$U$36</c:f>
              <c:numCache/>
            </c:numRef>
          </c:val>
          <c:smooth val="0"/>
        </c:ser>
        <c:axId val="1401400268"/>
        <c:axId val="1911038938"/>
      </c:lineChart>
      <c:catAx>
        <c:axId val="1401400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 (b)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038938"/>
      </c:catAx>
      <c:valAx>
        <c:axId val="19110389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4002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Frame Size impact on efficiency (Tprop 0s)</a:t>
            </a:r>
          </a:p>
        </c:rich>
      </c:tx>
      <c:overlay val="0"/>
    </c:title>
    <c:plotArea>
      <c:layout/>
      <c:lineChart>
        <c:ser>
          <c:idx val="0"/>
          <c:order val="0"/>
          <c:tx>
            <c:v>Theoretical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Folha1!$G$32:$G$37</c:f>
            </c:strRef>
          </c:cat>
          <c:val>
            <c:numRef>
              <c:f>Folha1!$K$32:$K$37</c:f>
              <c:numCache/>
            </c:numRef>
          </c:val>
          <c:smooth val="0"/>
        </c:ser>
        <c:ser>
          <c:idx val="1"/>
          <c:order val="1"/>
          <c:tx>
            <c:v>Achieved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Folha1!$G$32:$G$37</c:f>
            </c:strRef>
          </c:cat>
          <c:val>
            <c:numRef>
              <c:f>Folha1!$J$32:$J$37</c:f>
              <c:numCache/>
            </c:numRef>
          </c:val>
          <c:smooth val="0"/>
        </c:ser>
        <c:axId val="1036905101"/>
        <c:axId val="1963048790"/>
      </c:lineChart>
      <c:catAx>
        <c:axId val="1036905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 (b)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3048790"/>
      </c:catAx>
      <c:valAx>
        <c:axId val="1963048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69051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180975</xdr:colOff>
      <xdr:row>1</xdr:row>
      <xdr:rowOff>190500</xdr:rowOff>
    </xdr:from>
    <xdr:ext cx="5133975" cy="31813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180975</xdr:colOff>
      <xdr:row>15</xdr:row>
      <xdr:rowOff>209550</xdr:rowOff>
    </xdr:from>
    <xdr:ext cx="5133975" cy="31813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180975</xdr:colOff>
      <xdr:row>44</xdr:row>
      <xdr:rowOff>219075</xdr:rowOff>
    </xdr:from>
    <xdr:ext cx="5133975" cy="31813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22</xdr:col>
      <xdr:colOff>504825</xdr:colOff>
      <xdr:row>29</xdr:row>
      <xdr:rowOff>190500</xdr:rowOff>
    </xdr:from>
    <xdr:ext cx="5133975" cy="31813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180975</xdr:colOff>
      <xdr:row>29</xdr:row>
      <xdr:rowOff>190500</xdr:rowOff>
    </xdr:from>
    <xdr:ext cx="5133975" cy="31813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B3:D4" displayName="Constants" name="Constants" id="1">
  <tableColumns count="3">
    <tableColumn name="Bytes sent (B)" id="1"/>
    <tableColumn name="Runs" id="2"/>
    <tableColumn name="AVG away" id="3"/>
  </tableColumns>
  <tableStyleInfo name="Folha1-style" showColumnStripes="0" showFirstColumn="1" showLastColumn="1" showRowStripes="1"/>
</table>
</file>

<file path=xl/tables/table2.xml><?xml version="1.0" encoding="utf-8"?>
<table xmlns="http://schemas.openxmlformats.org/spreadsheetml/2006/main" ref="F3:K8" displayName="Frame_Error_Ratio" name="Frame_Error_Ratio" id="2">
  <tableColumns count="6">
    <tableColumn name="BER" id="1"/>
    <tableColumn name="FER" id="2"/>
    <tableColumn name="Time (s)" id="3"/>
    <tableColumn name="Data R (bps)" id="4"/>
    <tableColumn name="Data S (%)" id="5"/>
    <tableColumn name="Theoretical S (%)" id="6"/>
  </tableColumns>
  <tableStyleInfo name="Folha1-style 2" showColumnStripes="0" showFirstColumn="1" showLastColumn="1" showRowStripes="1"/>
</table>
</file>

<file path=xl/tables/table3.xml><?xml version="1.0" encoding="utf-8"?>
<table xmlns="http://schemas.openxmlformats.org/spreadsheetml/2006/main" ref="B7:D13" displayName="Payload_data" name="Payload_data" id="3">
  <tableColumns count="3">
    <tableColumn name="Max payload size (B)" id="1"/>
    <tableColumn name="L (b)" id="2"/>
    <tableColumn name="Tf (s)" id="3"/>
  </tableColumns>
  <tableStyleInfo name="Folha1-style 3" showColumnStripes="0" showFirstColumn="1" showLastColumn="1" showRowStripes="1"/>
</table>
</file>

<file path=xl/tables/table4.xml><?xml version="1.0" encoding="utf-8"?>
<table xmlns="http://schemas.openxmlformats.org/spreadsheetml/2006/main" ref="G17:K22" displayName="Propagation_Delay" name="Propagation_Delay" id="4">
  <tableColumns count="5">
    <tableColumn name="Tprop (us)" id="1"/>
    <tableColumn name="Time (s)" id="2"/>
    <tableColumn name="Data R (bps)" id="3"/>
    <tableColumn name="Data S (%)" id="4"/>
    <tableColumn name="Theoretical S (%)" id="5"/>
  </tableColumns>
  <tableStyleInfo name="Folha1-style 4" showColumnStripes="0" showFirstColumn="1" showLastColumn="1" showRowStripes="1"/>
</table>
</file>

<file path=xl/tables/table5.xml><?xml version="1.0" encoding="utf-8"?>
<table xmlns="http://schemas.openxmlformats.org/spreadsheetml/2006/main" headerRowCount="0" ref="R29:S29" displayName="Table_1" name="Table_1" id="5">
  <tableColumns count="2">
    <tableColumn name="Column1" id="1"/>
    <tableColumn name="Column2" id="2"/>
  </tableColumns>
  <tableStyleInfo name="Folha1-style 5" showColumnStripes="0" showFirstColumn="1" showLastColumn="1" showRowStripes="1"/>
</table>
</file>

<file path=xl/tables/table6.xml><?xml version="1.0" encoding="utf-8"?>
<table xmlns="http://schemas.openxmlformats.org/spreadsheetml/2006/main" ref="G31:K37" displayName="Frame_Size_TPROP_0" name="Frame_Size_TPROP_0" id="6">
  <tableColumns count="5">
    <tableColumn name="L (b)" id="1"/>
    <tableColumn name="Time (s)" id="2"/>
    <tableColumn name="Data R (bps)" id="3"/>
    <tableColumn name="Data S (%)" id="4"/>
    <tableColumn name="Theoretical S (%)" id="5"/>
  </tableColumns>
  <tableStyleInfo name="Folha1-style 6" showColumnStripes="0" showFirstColumn="1" showLastColumn="1" showRowStripes="1"/>
</table>
</file>

<file path=xl/tables/table7.xml><?xml version="1.0" encoding="utf-8"?>
<table xmlns="http://schemas.openxmlformats.org/spreadsheetml/2006/main" ref="R31:V37" displayName="Frame_Size_TPROP_0.1s" name="Frame_Size_TPROP_0.1s" id="7">
  <tableColumns count="5">
    <tableColumn name="L (b)" id="1"/>
    <tableColumn name="Time (s)" id="2"/>
    <tableColumn name="Data R (bps)" id="3"/>
    <tableColumn name="Data S (%)" id="4"/>
    <tableColumn name="Theoretical S (%)" id="5"/>
  </tableColumns>
  <tableStyleInfo name="Folha1-style 7" showColumnStripes="0" showFirstColumn="1" showLastColumn="1" showRowStripes="1"/>
</table>
</file>

<file path=xl/tables/table8.xml><?xml version="1.0" encoding="utf-8"?>
<table xmlns="http://schemas.openxmlformats.org/spreadsheetml/2006/main" ref="G46:K51" displayName="Baudrate_" name="Baudrate_" id="8">
  <tableColumns count="5">
    <tableColumn name="C (bps)" id="1"/>
    <tableColumn name="Time (s)" id="2"/>
    <tableColumn name="Data R (bps)" id="3"/>
    <tableColumn name="Data S (%)" id="4"/>
    <tableColumn name="Theoretical S (%)" id="5"/>
  </tableColumns>
  <tableStyleInfo name="Folha1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0.88"/>
    <col customWidth="1" min="3" max="3" width="9.25"/>
    <col customWidth="1" min="4" max="4" width="16.5"/>
    <col customWidth="1" min="5" max="5" width="17.88"/>
    <col customWidth="1" min="6" max="6" width="9.13"/>
    <col customWidth="1" min="7" max="7" width="14.75"/>
    <col customWidth="1" min="8" max="8" width="11.63"/>
    <col customWidth="1" min="9" max="9" width="14.63"/>
    <col customWidth="1" min="10" max="10" width="13.13"/>
    <col customWidth="1" min="11" max="11" width="17.88"/>
  </cols>
  <sheetData>
    <row r="1" ht="18.75" customHeight="1"/>
    <row r="2" ht="18.75" customHeight="1"/>
    <row r="3" ht="18.75" customHeight="1">
      <c r="B3" s="1" t="s">
        <v>0</v>
      </c>
      <c r="C3" s="2" t="s">
        <v>1</v>
      </c>
      <c r="D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</row>
    <row r="4" ht="18.75" customHeight="1">
      <c r="B4" s="3">
        <v>10968.0</v>
      </c>
      <c r="C4" s="3">
        <v>10.0</v>
      </c>
      <c r="D4" s="3">
        <f>(SUM(Frame_Error_Ratio[Theoretical S (%)],Propagation_Delay[Theoretical S (%)],Frame_Size_TPROP_0[Theoretical S (%)],Baudrate_[Theoretical S (%)],Frame_Size_TPROP_0.1s[Theoretical S (%)])-SUM(Frame_Error_Ratio[Data S (%)],Propagation_Delay[Data S (%)],Frame_Size_TPROP_0[Data S (%)],Baudrate_[Data S (%)],Frame_Size_TPROP_0.1s[Data S (%)])) / 27</f>
        <v>0.2043703704</v>
      </c>
      <c r="F4" s="3">
        <v>0.0</v>
      </c>
      <c r="G4" s="4">
        <f t="shared" ref="G4:G8" si="1"> TRUNC(1-(1-F4)^$C$11,3)</f>
        <v>0</v>
      </c>
      <c r="H4" s="3">
        <v>11.7642</v>
      </c>
      <c r="I4" s="4">
        <f>TRUNC( Constants[Bytes sent (B)]*8/H4 , 3)</f>
        <v>7458.56</v>
      </c>
      <c r="J4" s="5">
        <f t="shared" ref="J4:J8" si="2">TRUNC( I4/$G$49, 3)</f>
        <v>0.776</v>
      </c>
      <c r="K4" s="5">
        <f t="shared" ref="K4:K8" si="3">TRUNC((1-G4)/(1+2*0/$D$11), 3)</f>
        <v>1</v>
      </c>
    </row>
    <row r="5" ht="18.75" customHeight="1">
      <c r="F5" s="3">
        <v>1.0E-6</v>
      </c>
      <c r="G5" s="4">
        <f t="shared" si="1"/>
        <v>0.008</v>
      </c>
      <c r="H5" s="3">
        <v>11.8702</v>
      </c>
      <c r="I5" s="4">
        <f>TRUNC( Constants[Bytes sent (B)]*8/H5 , 3)</f>
        <v>7391.956</v>
      </c>
      <c r="J5" s="5">
        <f t="shared" si="2"/>
        <v>0.769</v>
      </c>
      <c r="K5" s="5">
        <f t="shared" si="3"/>
        <v>0.992</v>
      </c>
    </row>
    <row r="6" ht="18.75" customHeight="1">
      <c r="F6" s="3">
        <v>2.5E-5</v>
      </c>
      <c r="G6" s="4">
        <f t="shared" si="1"/>
        <v>0.182</v>
      </c>
      <c r="H6" s="3">
        <v>14.2006</v>
      </c>
      <c r="I6" s="4">
        <f>TRUNC( Constants[Bytes sent (B)]*8/H6 , 3)</f>
        <v>6178.893</v>
      </c>
      <c r="J6" s="5">
        <f t="shared" si="2"/>
        <v>0.643</v>
      </c>
      <c r="K6" s="5">
        <f t="shared" si="3"/>
        <v>0.818</v>
      </c>
    </row>
    <row r="7" ht="18.75" customHeight="1">
      <c r="B7" s="1" t="s">
        <v>9</v>
      </c>
      <c r="C7" s="1" t="s">
        <v>10</v>
      </c>
      <c r="D7" s="1" t="s">
        <v>11</v>
      </c>
      <c r="F7" s="3">
        <v>5.0E-5</v>
      </c>
      <c r="G7" s="4">
        <f t="shared" si="1"/>
        <v>0.331</v>
      </c>
      <c r="H7" s="3">
        <v>22.6429</v>
      </c>
      <c r="I7" s="4">
        <f>TRUNC( Constants[Bytes sent (B)]*8/H7 , 3)</f>
        <v>3875.122</v>
      </c>
      <c r="J7" s="5">
        <f t="shared" si="2"/>
        <v>0.403</v>
      </c>
      <c r="K7" s="5">
        <f t="shared" si="3"/>
        <v>0.669</v>
      </c>
    </row>
    <row r="8" ht="18.75" customHeight="1">
      <c r="B8" s="3">
        <v>8000.0</v>
      </c>
      <c r="C8" s="4">
        <f t="shared" ref="C8:C13" si="4">(5+B8+1)*8</f>
        <v>64048</v>
      </c>
      <c r="D8" s="4">
        <f t="shared" ref="D8:D13" si="5">C8/$G$49</f>
        <v>6.671666667</v>
      </c>
      <c r="F8" s="3">
        <v>1.0E-4</v>
      </c>
      <c r="G8" s="4">
        <f t="shared" si="1"/>
        <v>0.552</v>
      </c>
      <c r="H8" s="3">
        <v>23.3117</v>
      </c>
      <c r="I8" s="4">
        <f>TRUNC( Constants[Bytes sent (B)]*8/H8 , 3)</f>
        <v>3763.946</v>
      </c>
      <c r="J8" s="5">
        <f t="shared" si="2"/>
        <v>0.392</v>
      </c>
      <c r="K8" s="5">
        <f t="shared" si="3"/>
        <v>0.448</v>
      </c>
    </row>
    <row r="9" ht="18.75" customHeight="1">
      <c r="B9" s="3">
        <v>4000.0</v>
      </c>
      <c r="C9" s="4">
        <f t="shared" si="4"/>
        <v>32048</v>
      </c>
      <c r="D9" s="4">
        <f t="shared" si="5"/>
        <v>3.338333333</v>
      </c>
    </row>
    <row r="10" ht="18.75" customHeight="1">
      <c r="B10" s="3">
        <v>2000.0</v>
      </c>
      <c r="C10" s="4">
        <f t="shared" si="4"/>
        <v>16048</v>
      </c>
      <c r="D10" s="4">
        <f t="shared" si="5"/>
        <v>1.671666667</v>
      </c>
    </row>
    <row r="11" ht="18.75" customHeight="1">
      <c r="B11" s="6">
        <v>1000.0</v>
      </c>
      <c r="C11" s="7">
        <f t="shared" si="4"/>
        <v>8048</v>
      </c>
      <c r="D11" s="7">
        <f t="shared" si="5"/>
        <v>0.8383333333</v>
      </c>
    </row>
    <row r="12" ht="18.75" customHeight="1">
      <c r="B12" s="3">
        <v>500.0</v>
      </c>
      <c r="C12" s="4">
        <f t="shared" si="4"/>
        <v>4048</v>
      </c>
      <c r="D12" s="4">
        <f t="shared" si="5"/>
        <v>0.4216666667</v>
      </c>
    </row>
    <row r="13" ht="18.75" customHeight="1">
      <c r="B13" s="3">
        <v>250.0</v>
      </c>
      <c r="C13" s="4">
        <f t="shared" si="4"/>
        <v>2048</v>
      </c>
      <c r="D13" s="4">
        <f t="shared" si="5"/>
        <v>0.2133333333</v>
      </c>
    </row>
    <row r="14" ht="18.75" customHeight="1"/>
    <row r="15" ht="18.75" customHeight="1"/>
    <row r="16" ht="18.75" customHeight="1"/>
    <row r="17" ht="18.75" customHeight="1">
      <c r="G17" s="1" t="s">
        <v>12</v>
      </c>
      <c r="H17" s="1" t="s">
        <v>5</v>
      </c>
      <c r="I17" s="1" t="s">
        <v>6</v>
      </c>
      <c r="J17" s="1" t="s">
        <v>7</v>
      </c>
      <c r="K17" s="1" t="s">
        <v>8</v>
      </c>
    </row>
    <row r="18" ht="18.75" customHeight="1">
      <c r="G18" s="3">
        <v>0.0</v>
      </c>
      <c r="H18" s="3">
        <v>11.764</v>
      </c>
      <c r="I18" s="4">
        <f>TRUNC( Constants[Bytes sent (B)]*8/H18 , 3)</f>
        <v>7458.687</v>
      </c>
      <c r="J18" s="5">
        <f t="shared" ref="J18:J22" si="6">TRUNC( I18/$G$49, 3)</f>
        <v>0.776</v>
      </c>
      <c r="K18" s="5">
        <f t="shared" ref="K18:K22" si="7">TRUNC((1-0)/(1+2*G18/10^6/$D$11), 3)</f>
        <v>1</v>
      </c>
    </row>
    <row r="19" ht="18.75" customHeight="1">
      <c r="G19" s="3">
        <v>10.0</v>
      </c>
      <c r="H19" s="3">
        <v>11.7644</v>
      </c>
      <c r="I19" s="4">
        <f>TRUNC( Constants[Bytes sent (B)]*8/H19 , 3)</f>
        <v>7458.433</v>
      </c>
      <c r="J19" s="5">
        <f t="shared" si="6"/>
        <v>0.776</v>
      </c>
      <c r="K19" s="5">
        <f t="shared" si="7"/>
        <v>0.999</v>
      </c>
    </row>
    <row r="20" ht="18.75" customHeight="1">
      <c r="G20" s="3">
        <v>10000.0</v>
      </c>
      <c r="H20" s="3">
        <v>12.0978</v>
      </c>
      <c r="I20" s="4">
        <f>TRUNC( Constants[Bytes sent (B)]*8/H20 , 3)</f>
        <v>7252.888</v>
      </c>
      <c r="J20" s="5">
        <f t="shared" si="6"/>
        <v>0.755</v>
      </c>
      <c r="K20" s="5">
        <f t="shared" si="7"/>
        <v>0.976</v>
      </c>
    </row>
    <row r="21" ht="18.75" customHeight="1">
      <c r="G21" s="3">
        <v>100000.0</v>
      </c>
      <c r="H21" s="3">
        <v>14.9642</v>
      </c>
      <c r="I21" s="4">
        <f>TRUNC( Constants[Bytes sent (B)]*8/H21 , 3)</f>
        <v>5863.594</v>
      </c>
      <c r="J21" s="5">
        <f t="shared" si="6"/>
        <v>0.61</v>
      </c>
      <c r="K21" s="5">
        <f t="shared" si="7"/>
        <v>0.807</v>
      </c>
    </row>
    <row r="22" ht="18.75" customHeight="1">
      <c r="G22" s="3">
        <v>1000000.0</v>
      </c>
      <c r="H22" s="3">
        <v>43.7643</v>
      </c>
      <c r="I22" s="4">
        <f>TRUNC( Constants[Bytes sent (B)]*8/H22 , 3)</f>
        <v>2004.921</v>
      </c>
      <c r="J22" s="5">
        <f t="shared" si="6"/>
        <v>0.208</v>
      </c>
      <c r="K22" s="5">
        <f t="shared" si="7"/>
        <v>0.295</v>
      </c>
    </row>
    <row r="23" ht="18.75" customHeight="1">
      <c r="B23" s="8"/>
    </row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>
      <c r="G31" s="1" t="s">
        <v>10</v>
      </c>
      <c r="H31" s="1" t="s">
        <v>5</v>
      </c>
      <c r="I31" s="1" t="s">
        <v>6</v>
      </c>
      <c r="J31" s="1" t="s">
        <v>7</v>
      </c>
      <c r="K31" s="1" t="s">
        <v>8</v>
      </c>
      <c r="R31" s="1" t="s">
        <v>10</v>
      </c>
      <c r="S31" s="1" t="s">
        <v>5</v>
      </c>
      <c r="T31" s="1" t="s">
        <v>6</v>
      </c>
      <c r="U31" s="1" t="s">
        <v>7</v>
      </c>
      <c r="V31" s="1" t="s">
        <v>8</v>
      </c>
    </row>
    <row r="32" ht="18.75" customHeight="1">
      <c r="G32" s="3">
        <f t="shared" ref="G32:G37" si="8">INDIRECT("C" &amp; 32-ROW()+13)</f>
        <v>2048</v>
      </c>
      <c r="H32" s="3">
        <v>12.2464</v>
      </c>
      <c r="I32" s="4">
        <f>TRUNC( Constants[Bytes sent (B)]*8/H32 , 3)</f>
        <v>7164.881</v>
      </c>
      <c r="J32" s="5">
        <f t="shared" ref="J32:J37" si="9">TRUNC(I32/$G$49,3)</f>
        <v>0.746</v>
      </c>
      <c r="K32" s="5">
        <f t="shared" ref="K32:K37" si="10">(1-0)/(1+2*0/INDIRECT("D" &amp; 32-ROW()+13))</f>
        <v>1</v>
      </c>
      <c r="R32" s="3">
        <f t="shared" ref="R32:R37" si="11">INDIRECT("C" &amp; 32-ROW()+13)</f>
        <v>2048</v>
      </c>
      <c r="S32" s="3">
        <v>22.0467</v>
      </c>
      <c r="T32" s="4">
        <f>TRUNC( Constants[Bytes sent (B)]*8/S32 , 3)</f>
        <v>3979.915</v>
      </c>
      <c r="U32" s="5">
        <f t="shared" ref="U32:U37" si="12">TRUNC(T32/$G$49,3)</f>
        <v>0.414</v>
      </c>
      <c r="V32" s="5">
        <f t="shared" ref="V32:V37" si="13">TRUNC((1-0)/(1+2*0.1/INDIRECT("D" &amp; 32-ROW()+13)),3)</f>
        <v>0.516</v>
      </c>
    </row>
    <row r="33" ht="18.75" customHeight="1">
      <c r="G33" s="3">
        <f t="shared" si="8"/>
        <v>4048</v>
      </c>
      <c r="H33" s="3">
        <v>11.9242</v>
      </c>
      <c r="I33" s="4">
        <f>TRUNC( Constants[Bytes sent (B)]*8/H33 , 3)</f>
        <v>7358.481</v>
      </c>
      <c r="J33" s="5">
        <f t="shared" si="9"/>
        <v>0.766</v>
      </c>
      <c r="K33" s="5">
        <f t="shared" si="10"/>
        <v>1</v>
      </c>
      <c r="R33" s="3">
        <f t="shared" si="11"/>
        <v>4048</v>
      </c>
      <c r="S33" s="3">
        <v>17.325</v>
      </c>
      <c r="T33" s="4">
        <f>TRUNC( Constants[Bytes sent (B)]*8/S33 , 3)</f>
        <v>5064.588</v>
      </c>
      <c r="U33" s="5">
        <f t="shared" si="12"/>
        <v>0.527</v>
      </c>
      <c r="V33" s="5">
        <f t="shared" si="13"/>
        <v>0.678</v>
      </c>
    </row>
    <row r="34" ht="18.75" customHeight="1">
      <c r="G34" s="3">
        <f t="shared" si="8"/>
        <v>8048</v>
      </c>
      <c r="H34" s="3">
        <v>11.7643</v>
      </c>
      <c r="I34" s="4">
        <f>TRUNC( Constants[Bytes sent (B)]*8/H34 , 3)</f>
        <v>7458.497</v>
      </c>
      <c r="J34" s="5">
        <f t="shared" si="9"/>
        <v>0.776</v>
      </c>
      <c r="K34" s="5">
        <f t="shared" si="10"/>
        <v>1</v>
      </c>
      <c r="R34" s="3">
        <f t="shared" si="11"/>
        <v>8048</v>
      </c>
      <c r="S34" s="3">
        <v>14.9645</v>
      </c>
      <c r="T34" s="4">
        <f>TRUNC( Constants[Bytes sent (B)]*8/S34 , 3)</f>
        <v>5863.476</v>
      </c>
      <c r="U34" s="5">
        <f t="shared" si="12"/>
        <v>0.61</v>
      </c>
      <c r="V34" s="5">
        <f t="shared" si="13"/>
        <v>0.807</v>
      </c>
    </row>
    <row r="35" ht="18.75" customHeight="1">
      <c r="G35" s="3">
        <f t="shared" si="8"/>
        <v>16048</v>
      </c>
      <c r="H35" s="3">
        <v>11.6765</v>
      </c>
      <c r="I35" s="4">
        <f>TRUNC( Constants[Bytes sent (B)]*8/H35 , 3)</f>
        <v>7514.58</v>
      </c>
      <c r="J35" s="5">
        <f t="shared" si="9"/>
        <v>0.782</v>
      </c>
      <c r="K35" s="5">
        <f t="shared" si="10"/>
        <v>1</v>
      </c>
      <c r="R35" s="3">
        <f t="shared" si="11"/>
        <v>16048</v>
      </c>
      <c r="S35" s="3">
        <v>13.677</v>
      </c>
      <c r="T35" s="4">
        <f>TRUNC( Constants[Bytes sent (B)]*8/S35 , 3)</f>
        <v>6415.441</v>
      </c>
      <c r="U35" s="5">
        <f t="shared" si="12"/>
        <v>0.668</v>
      </c>
      <c r="V35" s="5">
        <f t="shared" si="13"/>
        <v>0.893</v>
      </c>
    </row>
    <row r="36" ht="18.75" customHeight="1">
      <c r="G36" s="3">
        <f t="shared" si="8"/>
        <v>32048</v>
      </c>
      <c r="H36" s="3">
        <v>11.633</v>
      </c>
      <c r="I36" s="4">
        <f>TRUNC( Constants[Bytes sent (B)]*8/H36 , 3)</f>
        <v>7542.68</v>
      </c>
      <c r="J36" s="5">
        <f t="shared" si="9"/>
        <v>0.785</v>
      </c>
      <c r="K36" s="5">
        <f t="shared" si="10"/>
        <v>1</v>
      </c>
      <c r="R36" s="3">
        <f t="shared" si="11"/>
        <v>32048</v>
      </c>
      <c r="S36" s="3">
        <v>13.033</v>
      </c>
      <c r="T36" s="4">
        <f>TRUNC( Constants[Bytes sent (B)]*8/S36 , 3)</f>
        <v>6732.448</v>
      </c>
      <c r="U36" s="5">
        <f t="shared" si="12"/>
        <v>0.701</v>
      </c>
      <c r="V36" s="5">
        <f t="shared" si="13"/>
        <v>0.943</v>
      </c>
    </row>
    <row r="37" ht="18.75" customHeight="1">
      <c r="G37" s="3">
        <f t="shared" si="8"/>
        <v>64048</v>
      </c>
      <c r="H37" s="5">
        <v>11.6184</v>
      </c>
      <c r="I37" s="9">
        <f>TRUNC( Constants[Bytes sent (B)]*8/H37 , 3)</f>
        <v>7552.158</v>
      </c>
      <c r="J37" s="5">
        <f t="shared" si="9"/>
        <v>0.786</v>
      </c>
      <c r="K37" s="5">
        <f t="shared" si="10"/>
        <v>1</v>
      </c>
      <c r="R37" s="3">
        <f t="shared" si="11"/>
        <v>64048</v>
      </c>
      <c r="S37" s="5">
        <v>12.818</v>
      </c>
      <c r="T37" s="9">
        <f>TRUNC( Constants[Bytes sent (B)]*8/S37 , 3)</f>
        <v>6845.373</v>
      </c>
      <c r="U37" s="5">
        <f t="shared" si="12"/>
        <v>0.713</v>
      </c>
      <c r="V37" s="5">
        <f t="shared" si="13"/>
        <v>0.97</v>
      </c>
    </row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>
      <c r="G46" s="1" t="s">
        <v>13</v>
      </c>
      <c r="H46" s="1" t="s">
        <v>5</v>
      </c>
      <c r="I46" s="1" t="s">
        <v>6</v>
      </c>
      <c r="J46" s="1" t="s">
        <v>7</v>
      </c>
      <c r="K46" s="1" t="s">
        <v>8</v>
      </c>
    </row>
    <row r="47" ht="18.75" customHeight="1">
      <c r="G47" s="4">
        <v>2400.0</v>
      </c>
      <c r="H47" s="5">
        <v>47.324</v>
      </c>
      <c r="I47" s="4">
        <f>TRUNC(Constants[Bytes sent (B)]*8/H47,3)</f>
        <v>1854.112</v>
      </c>
      <c r="J47" s="5">
        <f t="shared" ref="J47:J51" si="14">TRUNC(I47/G47,3)</f>
        <v>0.772</v>
      </c>
      <c r="K47" s="5">
        <f t="shared" ref="K47:K51" si="15">TRUNC((1-0)/(1+2*0.01/($C$11/G47)),3)</f>
        <v>0.994</v>
      </c>
    </row>
    <row r="48" ht="18.75" customHeight="1">
      <c r="G48" s="4">
        <v>4800.0</v>
      </c>
      <c r="H48" s="5">
        <v>23.862</v>
      </c>
      <c r="I48" s="4">
        <f>TRUNC(Constants[Bytes sent (B)]*8/H48,3)</f>
        <v>3677.143</v>
      </c>
      <c r="J48" s="5">
        <f t="shared" si="14"/>
        <v>0.766</v>
      </c>
      <c r="K48" s="5">
        <f t="shared" si="15"/>
        <v>0.988</v>
      </c>
    </row>
    <row r="49" ht="18.75" customHeight="1">
      <c r="G49" s="4">
        <v>9600.0</v>
      </c>
      <c r="H49" s="5">
        <v>12.098</v>
      </c>
      <c r="I49" s="4">
        <f>TRUNC(Constants[Bytes sent (B)]*8/H49,3)</f>
        <v>7252.769</v>
      </c>
      <c r="J49" s="5">
        <f t="shared" si="14"/>
        <v>0.755</v>
      </c>
      <c r="K49" s="5">
        <f t="shared" si="15"/>
        <v>0.976</v>
      </c>
    </row>
    <row r="50" ht="18.75" customHeight="1">
      <c r="G50" s="4">
        <v>19200.0</v>
      </c>
      <c r="H50" s="5">
        <v>6.199</v>
      </c>
      <c r="I50" s="4">
        <f>TRUNC(Constants[Bytes sent (B)]*8/H50,3)</f>
        <v>14154.541</v>
      </c>
      <c r="J50" s="5">
        <f t="shared" si="14"/>
        <v>0.737</v>
      </c>
      <c r="K50" s="5">
        <f t="shared" si="15"/>
        <v>0.954</v>
      </c>
    </row>
    <row r="51" ht="18.75" customHeight="1">
      <c r="G51" s="4">
        <v>57600.0</v>
      </c>
      <c r="H51" s="5">
        <v>2.283</v>
      </c>
      <c r="I51" s="4">
        <f>TRUNC(Constants[Bytes sent (B)]*8/H51,3)</f>
        <v>38433.639</v>
      </c>
      <c r="J51" s="5">
        <f t="shared" si="14"/>
        <v>0.667</v>
      </c>
      <c r="K51" s="5">
        <f t="shared" si="15"/>
        <v>0.874</v>
      </c>
    </row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